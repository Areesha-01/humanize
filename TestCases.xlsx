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14380" windowHeight="3610" tabRatio="500"/>
  </bookViews>
  <sheets>
    <sheet name="Test Cases" sheetId="1" r:id="rId1"/>
    <sheet name="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B3" i="2"/>
  <c r="B6" i="2" s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<sst xmlns="http://schemas.openxmlformats.org/spreadsheetml/2006/main" count="113" uniqueCount="66">
  <si>
    <t>Test Case ID</t>
  </si>
  <si>
    <t>Module</t>
  </si>
  <si>
    <t>Function</t>
  </si>
  <si>
    <t>Description</t>
  </si>
  <si>
    <t>Input</t>
  </si>
  <si>
    <t>Expected Result</t>
  </si>
  <si>
    <t>Actual Result</t>
  </si>
  <si>
    <t>Status</t>
  </si>
  <si>
    <t>Test Data Source</t>
  </si>
  <si>
    <t>Tester</t>
  </si>
  <si>
    <t>TC-01</t>
  </si>
  <si>
    <t>humanize.number</t>
  </si>
  <si>
    <t>intcomma</t>
  </si>
  <si>
    <t>Format integer with thousands separators</t>
  </si>
  <si>
    <t>1,000</t>
  </si>
  <si>
    <t>tests/data/test_data.csv</t>
  </si>
  <si>
    <t>Areesha</t>
  </si>
  <si>
    <t>TC-02</t>
  </si>
  <si>
    <t>1,234,567</t>
  </si>
  <si>
    <t>TC-03</t>
  </si>
  <si>
    <t>-1,000</t>
  </si>
  <si>
    <t>TC-04</t>
  </si>
  <si>
    <t>intword</t>
  </si>
  <si>
    <t>Convert large integer to readable words</t>
  </si>
  <si>
    <t>1.2 million</t>
  </si>
  <si>
    <t>TC-05</t>
  </si>
  <si>
    <t>ordinal</t>
  </si>
  <si>
    <t>Convert integer to ordinal string</t>
  </si>
  <si>
    <t>22nd</t>
  </si>
  <si>
    <t>TC-06</t>
  </si>
  <si>
    <t>humanize.filesize</t>
  </si>
  <si>
    <t>naturalsize</t>
  </si>
  <si>
    <t>Convert byte count to readable file size</t>
  </si>
  <si>
    <t>1.0 MB</t>
  </si>
  <si>
    <t>TC-07</t>
  </si>
  <si>
    <t>1.0 kB</t>
  </si>
  <si>
    <t>Test Execution Summary</t>
  </si>
  <si>
    <t>Total test cases</t>
  </si>
  <si>
    <t>Passed</t>
  </si>
  <si>
    <t>Failed</t>
  </si>
  <si>
    <t>Pass rate</t>
  </si>
  <si>
    <t>Notes</t>
  </si>
  <si>
    <t>Test data is read from tests/data/test_data.csv by tests/test_csv_driven.py (pytest.mark.parametrize + csv module).</t>
  </si>
  <si>
    <t>Actual Result is the value returned by humanize when the test was run (humanize 4.x). Status is calculated from Expected vs Actual.</t>
  </si>
  <si>
    <t>humanize.time</t>
  </si>
  <si>
    <t>naturaldelta</t>
  </si>
  <si>
    <t>TC-08</t>
  </si>
  <si>
    <t>Convert timedelta to readable duration</t>
  </si>
  <si>
    <t>timedelta(hours=2)</t>
  </si>
  <si>
    <t>2 hours</t>
  </si>
  <si>
    <t>Pass</t>
  </si>
  <si>
    <t>tests/module_time/test_time_areeba.py</t>
  </si>
  <si>
    <t>Areeba</t>
  </si>
  <si>
    <t>a minute</t>
  </si>
  <si>
    <t>timedelta(seconds=60)</t>
  </si>
  <si>
    <t>Boundary: exactly 60 seconds</t>
  </si>
  <si>
    <t>TC-09</t>
  </si>
  <si>
    <t>TC-10</t>
  </si>
  <si>
    <t>naturaltime</t>
  </si>
  <si>
    <t>Past time shown as “ago”</t>
  </si>
  <si>
    <t>timedelta(seconds=30)</t>
  </si>
  <si>
    <t>30 seconds ago</t>
  </si>
  <si>
    <t>tests/module_filesize/test_filesize_areeba.p</t>
  </si>
  <si>
    <t>1.0 GB</t>
  </si>
  <si>
    <t>Convert 1 billion bytes to GB</t>
  </si>
  <si>
    <t>TC-11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</si>
</sst>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2" fillId="0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Normal="100" workbookViewId="0">
      <pane ySplit="1" topLeftCell="A3" activePane="bottomLeft" state="frozen"/>
      <selection pane="bottomLeft" activeCell="A12" sqref="A12"/>
    </sheetView>
  </sheetViews>
  <sheetFormatPr defaultColWidth="8.6328125" defaultRowHeight="14.5" x14ac:dyDescent="0.35"/>
  <cols>
    <col min="1" max="1" width="13" customWidth="1"/>
    <col min="2" max="2" width="18" customWidth="1"/>
    <col min="3" max="3" width="14" customWidth="1"/>
    <col min="4" max="4" width="42" customWidth="1"/>
    <col min="5" max="5" width="12" customWidth="1"/>
    <col min="6" max="7" width="18" customWidth="1"/>
    <col min="8" max="8" width="10" customWidth="1"/>
    <col min="9" max="9" width="26" customWidth="1"/>
    <col min="10" max="10" width="12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3">
        <v>1000</v>
      </c>
      <c r="F2" s="4" t="s">
        <v>14</v>
      </c>
      <c r="G2" s="4" t="s">
        <v>14</v>
      </c>
      <c r="H2" s="2" t="str">
        <f t="shared" ref="H2:H8" si="0">IF(F2=G2,"Pass","Fail")</f>
        <v>Pass</v>
      </c>
      <c r="I2" s="2" t="s">
        <v>15</v>
      </c>
      <c r="J2" s="2" t="s">
        <v>16</v>
      </c>
    </row>
    <row r="3" spans="1:10" x14ac:dyDescent="0.35">
      <c r="A3" s="2" t="s">
        <v>17</v>
      </c>
      <c r="B3" s="2" t="s">
        <v>11</v>
      </c>
      <c r="C3" s="2" t="s">
        <v>12</v>
      </c>
      <c r="D3" s="2" t="s">
        <v>13</v>
      </c>
      <c r="E3" s="3">
        <v>1234567</v>
      </c>
      <c r="F3" s="4" t="s">
        <v>18</v>
      </c>
      <c r="G3" s="4" t="s">
        <v>18</v>
      </c>
      <c r="H3" s="2" t="str">
        <f t="shared" si="0"/>
        <v>Pass</v>
      </c>
      <c r="I3" s="2" t="s">
        <v>15</v>
      </c>
      <c r="J3" s="2" t="s">
        <v>16</v>
      </c>
    </row>
    <row r="4" spans="1:10" x14ac:dyDescent="0.35">
      <c r="A4" s="2" t="s">
        <v>19</v>
      </c>
      <c r="B4" s="2" t="s">
        <v>11</v>
      </c>
      <c r="C4" s="2" t="s">
        <v>12</v>
      </c>
      <c r="D4" s="2" t="s">
        <v>13</v>
      </c>
      <c r="E4" s="3">
        <v>-1000</v>
      </c>
      <c r="F4" s="4" t="s">
        <v>20</v>
      </c>
      <c r="G4" s="4" t="s">
        <v>20</v>
      </c>
      <c r="H4" s="2" t="str">
        <f t="shared" si="0"/>
        <v>Pass</v>
      </c>
      <c r="I4" s="2" t="s">
        <v>15</v>
      </c>
      <c r="J4" s="2" t="s">
        <v>16</v>
      </c>
    </row>
    <row r="5" spans="1:10" x14ac:dyDescent="0.35">
      <c r="A5" s="2" t="s">
        <v>21</v>
      </c>
      <c r="B5" s="2" t="s">
        <v>11</v>
      </c>
      <c r="C5" s="2" t="s">
        <v>22</v>
      </c>
      <c r="D5" s="2" t="s">
        <v>23</v>
      </c>
      <c r="E5" s="3">
        <v>1200000</v>
      </c>
      <c r="F5" s="4" t="s">
        <v>24</v>
      </c>
      <c r="G5" s="4" t="s">
        <v>24</v>
      </c>
      <c r="H5" s="2" t="str">
        <f t="shared" si="0"/>
        <v>Pass</v>
      </c>
      <c r="I5" s="2" t="s">
        <v>15</v>
      </c>
      <c r="J5" s="2" t="s">
        <v>16</v>
      </c>
    </row>
    <row r="6" spans="1:10" x14ac:dyDescent="0.35">
      <c r="A6" s="2" t="s">
        <v>25</v>
      </c>
      <c r="B6" s="2" t="s">
        <v>11</v>
      </c>
      <c r="C6" s="2" t="s">
        <v>26</v>
      </c>
      <c r="D6" s="2" t="s">
        <v>27</v>
      </c>
      <c r="E6" s="3">
        <v>22</v>
      </c>
      <c r="F6" s="4" t="s">
        <v>28</v>
      </c>
      <c r="G6" s="4" t="s">
        <v>28</v>
      </c>
      <c r="H6" s="2" t="str">
        <f t="shared" si="0"/>
        <v>Pass</v>
      </c>
      <c r="I6" s="2" t="s">
        <v>15</v>
      </c>
      <c r="J6" s="2" t="s">
        <v>16</v>
      </c>
    </row>
    <row r="7" spans="1:10" x14ac:dyDescent="0.35">
      <c r="A7" s="2" t="s">
        <v>29</v>
      </c>
      <c r="B7" s="2" t="s">
        <v>30</v>
      </c>
      <c r="C7" s="2" t="s">
        <v>31</v>
      </c>
      <c r="D7" s="2" t="s">
        <v>32</v>
      </c>
      <c r="E7" s="3">
        <v>1000000</v>
      </c>
      <c r="F7" s="4" t="s">
        <v>33</v>
      </c>
      <c r="G7" s="4" t="s">
        <v>33</v>
      </c>
      <c r="H7" s="2" t="str">
        <f t="shared" si="0"/>
        <v>Pass</v>
      </c>
      <c r="I7" s="2" t="s">
        <v>15</v>
      </c>
      <c r="J7" s="2" t="s">
        <v>16</v>
      </c>
    </row>
    <row r="8" spans="1:10" x14ac:dyDescent="0.35">
      <c r="A8" s="2" t="s">
        <v>34</v>
      </c>
      <c r="B8" s="2" t="s">
        <v>30</v>
      </c>
      <c r="C8" s="2" t="s">
        <v>31</v>
      </c>
      <c r="D8" s="2" t="s">
        <v>32</v>
      </c>
      <c r="E8" s="3">
        <v>1024</v>
      </c>
      <c r="F8" s="4" t="s">
        <v>35</v>
      </c>
      <c r="G8" s="4" t="s">
        <v>35</v>
      </c>
      <c r="H8" s="2" t="str">
        <f t="shared" si="0"/>
        <v>Pass</v>
      </c>
      <c r="I8" s="2" t="s">
        <v>15</v>
      </c>
      <c r="J8" s="2" t="s">
        <v>16</v>
      </c>
    </row>
    <row r="9" spans="1:10" x14ac:dyDescent="0.35">
      <c r="A9" s="9" t="s">
        <v>46</v>
      </c>
      <c r="B9" t="s">
        <v>44</v>
      </c>
      <c r="C9" t="s">
        <v>45</v>
      </c>
      <c r="D9" t="s">
        <v>47</v>
      </c>
      <c r="E9" t="s">
        <v>48</v>
      </c>
      <c r="F9" t="s">
        <v>49</v>
      </c>
      <c r="G9" t="s">
        <v>49</v>
      </c>
      <c r="H9" t="s">
        <v>50</v>
      </c>
      <c r="I9" t="s">
        <v>51</v>
      </c>
      <c r="J9" s="9" t="s">
        <v>52</v>
      </c>
    </row>
    <row r="10" spans="1:10" x14ac:dyDescent="0.35">
      <c r="A10" t="s">
        <v>56</v>
      </c>
      <c r="B10" t="s">
        <v>44</v>
      </c>
      <c r="C10" t="s">
        <v>45</v>
      </c>
      <c r="D10" t="s">
        <v>55</v>
      </c>
      <c r="E10" t="s">
        <v>54</v>
      </c>
      <c r="F10" t="s">
        <v>53</v>
      </c>
      <c r="G10" s="10" t="s">
        <v>53</v>
      </c>
      <c r="H10" s="10" t="s">
        <v>50</v>
      </c>
      <c r="I10" t="s">
        <v>51</v>
      </c>
      <c r="J10" s="9" t="s">
        <v>52</v>
      </c>
    </row>
    <row r="11" spans="1:10" x14ac:dyDescent="0.35">
      <c r="A11" t="s">
        <v>57</v>
      </c>
      <c r="B11" t="s">
        <v>44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50</v>
      </c>
      <c r="I11" t="s">
        <v>51</v>
      </c>
      <c r="J11" s="9" t="s">
        <v>52</v>
      </c>
    </row>
    <row r="12" spans="1:10" x14ac:dyDescent="0.35">
      <c r="A12" t="s">
        <v>65</v>
      </c>
      <c r="B12" t="s">
        <v>30</v>
      </c>
      <c r="C12" t="s">
        <v>31</v>
      </c>
      <c r="D12" t="s">
        <v>64</v>
      </c>
      <c r="E12">
        <v>1000000000</v>
      </c>
      <c r="F12" t="s">
        <v>63</v>
      </c>
      <c r="G12" t="s">
        <v>63</v>
      </c>
      <c r="H12" t="s">
        <v>50</v>
      </c>
      <c r="I12" t="s">
        <v>62</v>
      </c>
      <c r="J12" s="9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4" customWidth="1"/>
  </cols>
  <sheetData>
    <row r="1" spans="1:2" ht="15.5" x14ac:dyDescent="0.35">
      <c r="A1" s="5" t="s">
        <v>36</v>
      </c>
    </row>
    <row r="3" spans="1:2" x14ac:dyDescent="0.35">
      <c r="A3" s="6" t="s">
        <v>37</v>
      </c>
      <c r="B3" s="6">
        <f>COUNTA('Test Cases'!A2:A8)</f>
        <v>7</v>
      </c>
    </row>
    <row r="4" spans="1:2" x14ac:dyDescent="0.35">
      <c r="A4" s="6" t="s">
        <v>38</v>
      </c>
      <c r="B4" s="6">
        <f>COUNTIF('Test Cases'!H2:H8,"Pass")</f>
        <v>7</v>
      </c>
    </row>
    <row r="5" spans="1:2" x14ac:dyDescent="0.35">
      <c r="A5" s="6" t="s">
        <v>39</v>
      </c>
      <c r="B5" s="6">
        <f>COUNTIF('Test Cases'!H2:H8,"Fail")</f>
        <v>0</v>
      </c>
    </row>
    <row r="6" spans="1:2" x14ac:dyDescent="0.35">
      <c r="A6" s="6" t="s">
        <v>40</v>
      </c>
      <c r="B6" s="7">
        <f>IF(B3=0,0,B4/B3)</f>
        <v>1</v>
      </c>
    </row>
    <row r="8" spans="1:2" x14ac:dyDescent="0.35">
      <c r="A8" s="8" t="s">
        <v>41</v>
      </c>
    </row>
    <row r="9" spans="1:2" x14ac:dyDescent="0.35">
      <c r="A9" s="6" t="s">
        <v>42</v>
      </c>
    </row>
    <row r="10" spans="1:2" x14ac:dyDescent="0.35">
      <c r="A10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Areesha Chaudhry</cp:lastModifiedBy>
  <cp:revision>0</cp:revision>
  <dcterms:created xsi:type="dcterms:W3CDTF">2026-10-23T15:24:10Z</dcterms:created>
  <dcterms:modified xsi:type="dcterms:W3CDTF">2026-10-23T16:35:53Z</dcterms:modified>
  <dc:language>en-US</dc:language>
</cp:coreProperties>
</file>